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OQ_Calculator" sheetId="1" state="visible" r:id="rId3"/>
    <sheet name="Reorder_Point_Model" sheetId="2" state="visible" r:id="rId4"/>
    <sheet name="Holding_vs_Stockout_Cos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<sst xmlns="http://schemas.openxmlformats.org/spreadsheetml/2006/main" count="95" uniqueCount="72">
  <si>
    <t xml:space="preserve">Economic Order Quantity (EOQ) &amp; Safety Stock Calculator</t>
  </si>
  <si>
    <t xml:space="preserve">EOQ = SQRT((2 x Annual Demand x Ordering Cost) / Holding Cost)   |   Safety Stock = (Max Daily Demand x Max Lead Time) - (Avg Daily Demand x Avg Lead Time)</t>
  </si>
  <si>
    <t xml:space="preserve">Legend:</t>
  </si>
  <si>
    <t xml:space="preserve">Blue = input cell (editable)</t>
  </si>
  <si>
    <t xml:space="preserve">Black = live formula</t>
  </si>
  <si>
    <t xml:space="preserve">Yellow = key assumption</t>
  </si>
  <si>
    <t xml:space="preserve">SKU_ID</t>
  </si>
  <si>
    <t xml:space="preserve">Product Name</t>
  </si>
  <si>
    <t xml:space="preserve">Category</t>
  </si>
  <si>
    <t xml:space="preserve">Annual Demand
(units/yr)</t>
  </si>
  <si>
    <t xml:space="preserve">Ordering Cost
($/order)</t>
  </si>
  <si>
    <t xml:space="preserve">Holding Cost
($/unit/yr)</t>
  </si>
  <si>
    <t xml:space="preserve">EOQ
(units/order)</t>
  </si>
  <si>
    <t xml:space="preserve">Max Daily
Demand</t>
  </si>
  <si>
    <t xml:space="preserve">Avg Daily
Demand</t>
  </si>
  <si>
    <t xml:space="preserve">Max Lead
Time (days)</t>
  </si>
  <si>
    <t xml:space="preserve">Avg Lead
Time (days)</t>
  </si>
  <si>
    <t xml:space="preserve">Safety
Stock (units)</t>
  </si>
  <si>
    <t xml:space="preserve">SKU-1001</t>
  </si>
  <si>
    <t xml:space="preserve">Diamondback Bike</t>
  </si>
  <si>
    <t xml:space="preserve">Fitness</t>
  </si>
  <si>
    <t xml:space="preserve">SKU-1002</t>
  </si>
  <si>
    <t xml:space="preserve">Perfect Fitness Trainer</t>
  </si>
  <si>
    <t xml:space="preserve">SKU-1003</t>
  </si>
  <si>
    <t xml:space="preserve">Nike Men's Shorts</t>
  </si>
  <si>
    <t xml:space="preserve">Apparel</t>
  </si>
  <si>
    <t xml:space="preserve">SKU-1004</t>
  </si>
  <si>
    <t xml:space="preserve">Field &amp; Stream Tent</t>
  </si>
  <si>
    <t xml:space="preserve">Outdoor</t>
  </si>
  <si>
    <t xml:space="preserve">SKU-1005</t>
  </si>
  <si>
    <t xml:space="preserve">Under Armour Hoodie</t>
  </si>
  <si>
    <t xml:space="preserve">SKU-1006</t>
  </si>
  <si>
    <t xml:space="preserve">Yoga Mat Premium</t>
  </si>
  <si>
    <t xml:space="preserve">SKU-1007</t>
  </si>
  <si>
    <t xml:space="preserve">Coleman Cooler 50QT</t>
  </si>
  <si>
    <t xml:space="preserve">SKU-1008</t>
  </si>
  <si>
    <t xml:space="preserve">Wilson Golf Balls (Dz)</t>
  </si>
  <si>
    <t xml:space="preserve">Sports Equipment</t>
  </si>
  <si>
    <t xml:space="preserve">SKU-1009</t>
  </si>
  <si>
    <t xml:space="preserve">Nike Dri-FIT Polo</t>
  </si>
  <si>
    <t xml:space="preserve">SKU-1010</t>
  </si>
  <si>
    <t xml:space="preserve">Garmin Running Watch</t>
  </si>
  <si>
    <t xml:space="preserve">Electronics</t>
  </si>
  <si>
    <t xml:space="preserve">Portfolio Summary</t>
  </si>
  <si>
    <t xml:space="preserve">Average EOQ (units):</t>
  </si>
  <si>
    <t xml:space="preserve">Total Safety Stock (units):</t>
  </si>
  <si>
    <t xml:space="preserve">Highest Holding Cost SKU:</t>
  </si>
  <si>
    <t xml:space="preserve">Assumptions: Annual demand, ordering cost, and holding cost figures are illustrative sample inputs styled on the DataCo Smart Supply Chain schema (order item fields, product category, shipping fields). Replace blue input cells with sourced ERP/WMS extract values.</t>
  </si>
  <si>
    <t xml:space="preserve">Reorder Point (ROP) Model</t>
  </si>
  <si>
    <t xml:space="preserve">ROP = (Avg Daily Demand x Avg Lead Time) + Safety Stock   |   Values pulled live from the EOQ_Calculator tab via cross-sheet formulas (green font).</t>
  </si>
  <si>
    <t xml:space="preserve">Safety Stock
(units)</t>
  </si>
  <si>
    <t xml:space="preserve">Reorder Point
(ROP, units)</t>
  </si>
  <si>
    <t xml:space="preserve">Days of Supply
at ROP Trigger</t>
  </si>
  <si>
    <t xml:space="preserve">Rows highlighted red have a Reorder Point above the portfolio average and should be prioritized in supplier PO cycles. This tab intentionally contains no hardcoded numbers — every value traces back to EOQ_Calculator inputs, so editing a demand or lead-time assumption there flows through automatically.</t>
  </si>
  <si>
    <t xml:space="preserve">Holding Cost vs. Stockout Cost Trade-off Model</t>
  </si>
  <si>
    <t xml:space="preserve">Annual Holding Cost = Current Stock x Holding Cost/Unit   |   Expected Stockout Cost = Stockout Probability x (Lost Margin + Customer Loss Penalty) x Annual Demand Exposure</t>
  </si>
  <si>
    <t xml:space="preserve">Current Stock
(units)</t>
  </si>
  <si>
    <t xml:space="preserve">Unit Cost
($)</t>
  </si>
  <si>
    <t xml:space="preserve">Selling Price
($)</t>
  </si>
  <si>
    <t xml:space="preserve">Annual Holding
Cost ($)</t>
  </si>
  <si>
    <t xml:space="preserve">Stockout
Probability (%)</t>
  </si>
  <si>
    <t xml:space="preserve">Annual Demand
Exposure (units)</t>
  </si>
  <si>
    <t xml:space="preserve">Gross Margin
($/unit)</t>
  </si>
  <si>
    <t xml:space="preserve">Customer Loss
Factor (%)</t>
  </si>
  <si>
    <t xml:space="preserve">Expected Annual
Stockout Cost ($)</t>
  </si>
  <si>
    <t xml:space="preserve">Net Cost
Delta ($)</t>
  </si>
  <si>
    <t xml:space="preserve">Portfolio Cost Summary</t>
  </si>
  <si>
    <t xml:space="preserve">Total Annual Holding Cost:</t>
  </si>
  <si>
    <t xml:space="preserve">Total Expected Stockout Cost:</t>
  </si>
  <si>
    <t xml:space="preserve">Net Portfolio Position:</t>
  </si>
  <si>
    <t xml:space="preserve">SKUs at Stockout Risk (cost &gt; holding):</t>
  </si>
  <si>
    <t xml:space="preserve">Green rows: holding investment currently outweighs stockout risk exposure (healthy buffer). Red rows: expected stockout cost exceeds the holding cost being carried — these SKUs are under-protected and are prime candidates for safety stock increases or expedited replenishment. Stockout probability and customer loss factor (highlighted yellow) are modeling assumptions; replace with historical fulfillment data where available.</t>
  </si>
</sst>
</file>

<file path=xl/styles.xml><?xml version="1.0" encoding="utf-8"?>
<styleSheet xmlns="http://schemas.openxmlformats.org/spreadsheetml/2006/main">
  <numFmts count="6">
    <numFmt numFmtId="164" formatCode="General"/>
    <numFmt numFmtId="165" formatCode="\$#,##0.00;&quot;($&quot;#,##0.00\);\-"/>
    <numFmt numFmtId="166" formatCode="#,##0.0"/>
    <numFmt numFmtId="167" formatCode="#,##0"/>
    <numFmt numFmtId="168" formatCode="\$#,##0;&quot;($&quot;#,##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1"/>
      <name val="Arial"/>
      <family val="0"/>
      <charset val="1"/>
    </font>
    <font>
      <sz val="11"/>
      <color rgb="FF0000FF"/>
      <name val="Arial"/>
      <family val="0"/>
      <charset val="1"/>
    </font>
    <font>
      <sz val="11"/>
      <color rgb="FF000000"/>
      <name val="Arial"/>
      <family val="0"/>
      <charset val="1"/>
    </font>
    <font>
      <b val="true"/>
      <sz val="11"/>
      <color rgb="FFFFFFFF"/>
      <name val="Arial"/>
      <family val="0"/>
      <charset val="1"/>
    </font>
    <font>
      <b val="true"/>
      <sz val="12"/>
      <color rgb="FF1F4E78"/>
      <name val="Arial"/>
      <family val="0"/>
      <charset val="1"/>
    </font>
    <font>
      <i val="true"/>
      <sz val="9"/>
      <color rgb="FF808080"/>
      <name val="Arial"/>
      <family val="0"/>
      <charset val="1"/>
    </font>
    <font>
      <sz val="11"/>
      <color rgb="FF008000"/>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FFF00"/>
        <bgColor rgb="FFFFFF00"/>
      </patternFill>
    </fill>
    <fill>
      <patternFill patternType="solid">
        <fgColor rgb="FF2E75B6"/>
        <bgColor rgb="FF0066CC"/>
      </patternFill>
    </fill>
    <fill>
      <patternFill patternType="solid">
        <fgColor rgb="FFD9E1F2"/>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10" fillId="5" borderId="0"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7" fontId="12" fillId="0"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9" fontId="7" fillId="3"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C7CE"/>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6"/>
    <col collapsed="false" customWidth="true" hidden="false" outlineLevel="0" max="4" min="4" style="0" width="14"/>
    <col collapsed="false" customWidth="true" hidden="false" outlineLevel="0" max="6" min="5" style="0" width="13"/>
    <col collapsed="false" customWidth="true" hidden="false" outlineLevel="0" max="7" min="7" style="0" width="12"/>
    <col collapsed="false" customWidth="true" hidden="false" outlineLevel="0" max="11" min="8" style="0" width="11"/>
    <col collapsed="false" customWidth="true" hidden="false" outlineLevel="0" max="12" min="12" style="0" width="12"/>
  </cols>
  <sheetData>
    <row r="1" customFormat="false" ht="27.75" hidden="false" customHeight="true" outlineLevel="0" collapsed="false">
      <c r="A1" s="1" t="s">
        <v>0</v>
      </c>
      <c r="B1" s="1"/>
      <c r="C1" s="1"/>
      <c r="D1" s="1"/>
      <c r="E1" s="1"/>
      <c r="F1" s="1"/>
      <c r="G1" s="1"/>
      <c r="H1" s="1"/>
      <c r="I1" s="1"/>
      <c r="J1" s="1"/>
      <c r="K1" s="1"/>
    </row>
    <row r="2" customFormat="false" ht="15" hidden="false" customHeight="false" outlineLevel="0" collapsed="false">
      <c r="A2" s="2" t="s">
        <v>1</v>
      </c>
      <c r="B2" s="2"/>
      <c r="C2" s="2"/>
      <c r="D2" s="2"/>
      <c r="E2" s="2"/>
      <c r="F2" s="2"/>
      <c r="G2" s="2"/>
      <c r="H2" s="2"/>
      <c r="I2" s="2"/>
      <c r="J2" s="2"/>
      <c r="K2" s="2"/>
    </row>
    <row r="4" customFormat="false" ht="15" hidden="false" customHeight="false" outlineLevel="0" collapsed="false">
      <c r="A4" s="3" t="s">
        <v>2</v>
      </c>
      <c r="B4" s="4" t="s">
        <v>3</v>
      </c>
      <c r="D4" s="5" t="s">
        <v>4</v>
      </c>
      <c r="F4" s="6" t="s">
        <v>5</v>
      </c>
    </row>
    <row r="6" customFormat="false" ht="31.5" hidden="false" customHeight="true" outlineLevel="0" collapsed="false">
      <c r="A6" s="7" t="s">
        <v>6</v>
      </c>
      <c r="B6" s="7" t="s">
        <v>7</v>
      </c>
      <c r="C6" s="7" t="s">
        <v>8</v>
      </c>
      <c r="D6" s="7" t="s">
        <v>9</v>
      </c>
      <c r="E6" s="7" t="s">
        <v>10</v>
      </c>
      <c r="F6" s="7" t="s">
        <v>11</v>
      </c>
      <c r="G6" s="7" t="s">
        <v>12</v>
      </c>
      <c r="H6" s="7" t="s">
        <v>13</v>
      </c>
      <c r="I6" s="7" t="s">
        <v>14</v>
      </c>
      <c r="J6" s="7" t="s">
        <v>15</v>
      </c>
      <c r="K6" s="7" t="s">
        <v>16</v>
      </c>
      <c r="L6" s="7" t="s">
        <v>17</v>
      </c>
    </row>
    <row r="7" customFormat="false" ht="15" hidden="false" customHeight="false" outlineLevel="0" collapsed="false">
      <c r="A7" s="8" t="s">
        <v>18</v>
      </c>
      <c r="B7" s="9" t="s">
        <v>19</v>
      </c>
      <c r="C7" s="8" t="s">
        <v>20</v>
      </c>
      <c r="D7" s="8" t="n">
        <v>4200</v>
      </c>
      <c r="E7" s="10" t="n">
        <v>75</v>
      </c>
      <c r="F7" s="10" t="n">
        <v>6.2</v>
      </c>
      <c r="G7" s="11" t="n">
        <f aca="false">SQRT((2*D7*E7)/F7)</f>
        <v>318.767788877431</v>
      </c>
      <c r="H7" s="8" t="n">
        <v>28</v>
      </c>
      <c r="I7" s="8" t="n">
        <v>12</v>
      </c>
      <c r="J7" s="8" t="n">
        <v>9</v>
      </c>
      <c r="K7" s="8" t="n">
        <v>5</v>
      </c>
      <c r="L7" s="12" t="n">
        <f aca="false">(H7*J7)-(I7*K7)</f>
        <v>192</v>
      </c>
    </row>
    <row r="8" customFormat="false" ht="15" hidden="false" customHeight="false" outlineLevel="0" collapsed="false">
      <c r="A8" s="8" t="s">
        <v>21</v>
      </c>
      <c r="B8" s="9" t="s">
        <v>22</v>
      </c>
      <c r="C8" s="8" t="s">
        <v>20</v>
      </c>
      <c r="D8" s="8" t="n">
        <v>6100</v>
      </c>
      <c r="E8" s="10" t="n">
        <v>60</v>
      </c>
      <c r="F8" s="10" t="n">
        <v>3.1</v>
      </c>
      <c r="G8" s="11" t="n">
        <f aca="false">SQRT((2*D8*E8)/F8)</f>
        <v>485.93109826195</v>
      </c>
      <c r="H8" s="8" t="n">
        <v>35</v>
      </c>
      <c r="I8" s="8" t="n">
        <v>17</v>
      </c>
      <c r="J8" s="8" t="n">
        <v>8</v>
      </c>
      <c r="K8" s="8" t="n">
        <v>4</v>
      </c>
      <c r="L8" s="12" t="n">
        <f aca="false">(H8*J8)-(I8*K8)</f>
        <v>212</v>
      </c>
    </row>
    <row r="9" customFormat="false" ht="15" hidden="false" customHeight="false" outlineLevel="0" collapsed="false">
      <c r="A9" s="8" t="s">
        <v>23</v>
      </c>
      <c r="B9" s="9" t="s">
        <v>24</v>
      </c>
      <c r="C9" s="8" t="s">
        <v>25</v>
      </c>
      <c r="D9" s="8" t="n">
        <v>9800</v>
      </c>
      <c r="E9" s="10" t="n">
        <v>40</v>
      </c>
      <c r="F9" s="10" t="n">
        <v>1.85</v>
      </c>
      <c r="G9" s="11" t="n">
        <f aca="false">SQRT((2*D9*E9)/F9)</f>
        <v>650.986776965388</v>
      </c>
      <c r="H9" s="8" t="n">
        <v>55</v>
      </c>
      <c r="I9" s="8" t="n">
        <v>27</v>
      </c>
      <c r="J9" s="8" t="n">
        <v>6</v>
      </c>
      <c r="K9" s="8" t="n">
        <v>3</v>
      </c>
      <c r="L9" s="12" t="n">
        <f aca="false">(H9*J9)-(I9*K9)</f>
        <v>249</v>
      </c>
    </row>
    <row r="10" customFormat="false" ht="15" hidden="false" customHeight="false" outlineLevel="0" collapsed="false">
      <c r="A10" s="8" t="s">
        <v>26</v>
      </c>
      <c r="B10" s="9" t="s">
        <v>27</v>
      </c>
      <c r="C10" s="8" t="s">
        <v>28</v>
      </c>
      <c r="D10" s="8" t="n">
        <v>2300</v>
      </c>
      <c r="E10" s="10" t="n">
        <v>90</v>
      </c>
      <c r="F10" s="10" t="n">
        <v>8.4</v>
      </c>
      <c r="G10" s="11" t="n">
        <f aca="false">SQRT((2*D10*E10)/F10)</f>
        <v>222.003860970286</v>
      </c>
      <c r="H10" s="8" t="n">
        <v>18</v>
      </c>
      <c r="I10" s="8" t="n">
        <v>7</v>
      </c>
      <c r="J10" s="8" t="n">
        <v>11</v>
      </c>
      <c r="K10" s="8" t="n">
        <v>6</v>
      </c>
      <c r="L10" s="12" t="n">
        <f aca="false">(H10*J10)-(I10*K10)</f>
        <v>156</v>
      </c>
    </row>
    <row r="11" customFormat="false" ht="15" hidden="false" customHeight="false" outlineLevel="0" collapsed="false">
      <c r="A11" s="8" t="s">
        <v>29</v>
      </c>
      <c r="B11" s="9" t="s">
        <v>30</v>
      </c>
      <c r="C11" s="8" t="s">
        <v>25</v>
      </c>
      <c r="D11" s="8" t="n">
        <v>7400</v>
      </c>
      <c r="E11" s="10" t="n">
        <v>45</v>
      </c>
      <c r="F11" s="10" t="n">
        <v>2.4</v>
      </c>
      <c r="G11" s="11" t="n">
        <f aca="false">SQRT((2*D11*E11)/F11)</f>
        <v>526.782687642637</v>
      </c>
      <c r="H11" s="8" t="n">
        <v>42</v>
      </c>
      <c r="I11" s="8" t="n">
        <v>20</v>
      </c>
      <c r="J11" s="8" t="n">
        <v>7</v>
      </c>
      <c r="K11" s="8" t="n">
        <v>4</v>
      </c>
      <c r="L11" s="12" t="n">
        <f aca="false">(H11*J11)-(I11*K11)</f>
        <v>214</v>
      </c>
    </row>
    <row r="12" customFormat="false" ht="15" hidden="false" customHeight="false" outlineLevel="0" collapsed="false">
      <c r="A12" s="8" t="s">
        <v>31</v>
      </c>
      <c r="B12" s="9" t="s">
        <v>32</v>
      </c>
      <c r="C12" s="8" t="s">
        <v>20</v>
      </c>
      <c r="D12" s="8" t="n">
        <v>5600</v>
      </c>
      <c r="E12" s="10" t="n">
        <v>35</v>
      </c>
      <c r="F12" s="10" t="n">
        <v>1.2</v>
      </c>
      <c r="G12" s="11" t="n">
        <f aca="false">SQRT((2*D12*E12)/F12)</f>
        <v>571.547606649408</v>
      </c>
      <c r="H12" s="8" t="n">
        <v>32</v>
      </c>
      <c r="I12" s="8" t="n">
        <v>15</v>
      </c>
      <c r="J12" s="8" t="n">
        <v>5</v>
      </c>
      <c r="K12" s="8" t="n">
        <v>3</v>
      </c>
      <c r="L12" s="12" t="n">
        <f aca="false">(H12*J12)-(I12*K12)</f>
        <v>115</v>
      </c>
    </row>
    <row r="13" customFormat="false" ht="15" hidden="false" customHeight="false" outlineLevel="0" collapsed="false">
      <c r="A13" s="8" t="s">
        <v>33</v>
      </c>
      <c r="B13" s="9" t="s">
        <v>34</v>
      </c>
      <c r="C13" s="8" t="s">
        <v>28</v>
      </c>
      <c r="D13" s="8" t="n">
        <v>3100</v>
      </c>
      <c r="E13" s="10" t="n">
        <v>70</v>
      </c>
      <c r="F13" s="10" t="n">
        <v>5.6</v>
      </c>
      <c r="G13" s="11" t="n">
        <f aca="false">SQRT((2*D13*E13)/F13)</f>
        <v>278.388218141501</v>
      </c>
      <c r="H13" s="8" t="n">
        <v>22</v>
      </c>
      <c r="I13" s="8" t="n">
        <v>9</v>
      </c>
      <c r="J13" s="8" t="n">
        <v>10</v>
      </c>
      <c r="K13" s="8" t="n">
        <v>5</v>
      </c>
      <c r="L13" s="12" t="n">
        <f aca="false">(H13*J13)-(I13*K13)</f>
        <v>175</v>
      </c>
    </row>
    <row r="14" customFormat="false" ht="26.85" hidden="false" customHeight="false" outlineLevel="0" collapsed="false">
      <c r="A14" s="8" t="s">
        <v>35</v>
      </c>
      <c r="B14" s="9" t="s">
        <v>36</v>
      </c>
      <c r="C14" s="8" t="s">
        <v>37</v>
      </c>
      <c r="D14" s="8" t="n">
        <v>8900</v>
      </c>
      <c r="E14" s="10" t="n">
        <v>30</v>
      </c>
      <c r="F14" s="10" t="n">
        <v>0.95</v>
      </c>
      <c r="G14" s="11" t="n">
        <f aca="false">SQRT((2*D14*E14)/F14)</f>
        <v>749.736795921005</v>
      </c>
      <c r="H14" s="8" t="n">
        <v>48</v>
      </c>
      <c r="I14" s="8" t="n">
        <v>24</v>
      </c>
      <c r="J14" s="8" t="n">
        <v>6</v>
      </c>
      <c r="K14" s="8" t="n">
        <v>3</v>
      </c>
      <c r="L14" s="12" t="n">
        <f aca="false">(H14*J14)-(I14*K14)</f>
        <v>216</v>
      </c>
    </row>
    <row r="15" customFormat="false" ht="15" hidden="false" customHeight="false" outlineLevel="0" collapsed="false">
      <c r="A15" s="8" t="s">
        <v>38</v>
      </c>
      <c r="B15" s="9" t="s">
        <v>39</v>
      </c>
      <c r="C15" s="8" t="s">
        <v>25</v>
      </c>
      <c r="D15" s="8" t="n">
        <v>6700</v>
      </c>
      <c r="E15" s="10" t="n">
        <v>38</v>
      </c>
      <c r="F15" s="10" t="n">
        <v>2.1</v>
      </c>
      <c r="G15" s="11" t="n">
        <f aca="false">SQRT((2*D15*E15)/F15)</f>
        <v>492.418714587688</v>
      </c>
      <c r="H15" s="8" t="n">
        <v>38</v>
      </c>
      <c r="I15" s="8" t="n">
        <v>18</v>
      </c>
      <c r="J15" s="8" t="n">
        <v>7</v>
      </c>
      <c r="K15" s="8" t="n">
        <v>4</v>
      </c>
      <c r="L15" s="12" t="n">
        <f aca="false">(H15*J15)-(I15*K15)</f>
        <v>194</v>
      </c>
    </row>
    <row r="16" customFormat="false" ht="15" hidden="false" customHeight="false" outlineLevel="0" collapsed="false">
      <c r="A16" s="8" t="s">
        <v>40</v>
      </c>
      <c r="B16" s="9" t="s">
        <v>41</v>
      </c>
      <c r="C16" s="8" t="s">
        <v>42</v>
      </c>
      <c r="D16" s="8" t="n">
        <v>2900</v>
      </c>
      <c r="E16" s="10" t="n">
        <v>110</v>
      </c>
      <c r="F16" s="10" t="n">
        <v>14.75</v>
      </c>
      <c r="G16" s="11" t="n">
        <f aca="false">SQRT((2*D16*E16)/F16)</f>
        <v>207.976530618567</v>
      </c>
      <c r="H16" s="8" t="n">
        <v>16</v>
      </c>
      <c r="I16" s="8" t="n">
        <v>8</v>
      </c>
      <c r="J16" s="8" t="n">
        <v>12</v>
      </c>
      <c r="K16" s="8" t="n">
        <v>6</v>
      </c>
      <c r="L16" s="12" t="n">
        <f aca="false">(H16*J16)-(I16*K16)</f>
        <v>144</v>
      </c>
    </row>
    <row r="19" customFormat="false" ht="15" hidden="false" customHeight="false" outlineLevel="0" collapsed="false">
      <c r="A19" s="13" t="s">
        <v>43</v>
      </c>
      <c r="B19" s="13"/>
      <c r="C19" s="13"/>
    </row>
    <row r="20" customFormat="false" ht="15" hidden="false" customHeight="false" outlineLevel="0" collapsed="false">
      <c r="A20" s="3" t="s">
        <v>44</v>
      </c>
      <c r="D20" s="14" t="n">
        <f aca="false">AVERAGE(G7:G16)</f>
        <v>450.454007863586</v>
      </c>
    </row>
    <row r="21" customFormat="false" ht="15" hidden="false" customHeight="false" outlineLevel="0" collapsed="false">
      <c r="A21" s="3" t="s">
        <v>45</v>
      </c>
      <c r="D21" s="15" t="n">
        <f aca="false">SUM(L7:L16)</f>
        <v>1867</v>
      </c>
    </row>
    <row r="22" customFormat="false" ht="15" hidden="false" customHeight="false" outlineLevel="0" collapsed="false">
      <c r="A22" s="3" t="s">
        <v>46</v>
      </c>
      <c r="D22" s="5" t="str">
        <f aca="false">INDEX(A7:A16,MATCH(MAX(F7:F16),F7:F16,0))</f>
        <v>SKU-1010</v>
      </c>
    </row>
    <row r="24" customFormat="false" ht="22.35" hidden="false" customHeight="true" outlineLevel="0" collapsed="false">
      <c r="A24" s="16" t="s">
        <v>47</v>
      </c>
      <c r="B24" s="16"/>
      <c r="C24" s="16"/>
      <c r="D24" s="16"/>
      <c r="E24" s="16"/>
      <c r="F24" s="16"/>
      <c r="G24" s="16"/>
      <c r="H24" s="16"/>
      <c r="I24" s="16"/>
      <c r="J24" s="16"/>
      <c r="K24" s="16"/>
      <c r="L24" s="16"/>
    </row>
  </sheetData>
  <mergeCells count="4">
    <mergeCell ref="A1:K1"/>
    <mergeCell ref="A2:K2"/>
    <mergeCell ref="A19:C19"/>
    <mergeCell ref="A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4" min="3" style="0" width="12"/>
    <col collapsed="false" customWidth="true" hidden="false" outlineLevel="0" max="5" min="5" style="0" width="13"/>
    <col collapsed="false" customWidth="true" hidden="false" outlineLevel="0" max="6" min="6" style="0" width="15"/>
    <col collapsed="false" customWidth="true" hidden="false" outlineLevel="0" max="7" min="7" style="0" width="12"/>
    <col collapsed="false" customWidth="true" hidden="false" outlineLevel="0" max="8" min="8" style="0" width="16"/>
  </cols>
  <sheetData>
    <row r="1" customFormat="false" ht="27.75" hidden="false" customHeight="true" outlineLevel="0" collapsed="false">
      <c r="A1" s="1" t="s">
        <v>48</v>
      </c>
      <c r="B1" s="1"/>
      <c r="C1" s="1"/>
      <c r="D1" s="1"/>
      <c r="E1" s="1"/>
      <c r="F1" s="1"/>
      <c r="G1" s="1"/>
      <c r="H1" s="1"/>
    </row>
    <row r="2" customFormat="false" ht="15" hidden="false" customHeight="false" outlineLevel="0" collapsed="false">
      <c r="A2" s="2" t="s">
        <v>49</v>
      </c>
      <c r="B2" s="2"/>
      <c r="C2" s="2"/>
      <c r="D2" s="2"/>
      <c r="E2" s="2"/>
      <c r="F2" s="2"/>
      <c r="G2" s="2"/>
      <c r="H2" s="2"/>
    </row>
    <row r="5" customFormat="false" ht="31.5" hidden="false" customHeight="true" outlineLevel="0" collapsed="false">
      <c r="A5" s="7" t="s">
        <v>6</v>
      </c>
      <c r="B5" s="7" t="s">
        <v>7</v>
      </c>
      <c r="C5" s="7" t="s">
        <v>14</v>
      </c>
      <c r="D5" s="7" t="s">
        <v>16</v>
      </c>
      <c r="E5" s="7" t="s">
        <v>50</v>
      </c>
      <c r="F5" s="7" t="s">
        <v>51</v>
      </c>
      <c r="G5" s="7" t="s">
        <v>12</v>
      </c>
      <c r="H5" s="7" t="s">
        <v>52</v>
      </c>
    </row>
    <row r="6" customFormat="false" ht="15" hidden="false" customHeight="false" outlineLevel="0" collapsed="false">
      <c r="A6" s="17" t="str">
        <f aca="false">EOQ_Calculator!A7</f>
        <v>SKU-1001</v>
      </c>
      <c r="B6" s="18" t="str">
        <f aca="false">EOQ_Calculator!B7</f>
        <v>Diamondback Bike</v>
      </c>
      <c r="C6" s="17" t="n">
        <f aca="false">EOQ_Calculator!I7</f>
        <v>12</v>
      </c>
      <c r="D6" s="17" t="n">
        <f aca="false">EOQ_Calculator!K7</f>
        <v>5</v>
      </c>
      <c r="E6" s="19" t="n">
        <f aca="false">EOQ_Calculator!L7</f>
        <v>192</v>
      </c>
      <c r="F6" s="12" t="n">
        <f aca="false">(C6*D6)+E6</f>
        <v>252</v>
      </c>
      <c r="G6" s="20" t="n">
        <f aca="false">EOQ_Calculator!G7</f>
        <v>318.767788877431</v>
      </c>
      <c r="H6" s="11" t="n">
        <f aca="false">IF(C6=0,0,F6/C6)</f>
        <v>21</v>
      </c>
    </row>
    <row r="7" customFormat="false" ht="15" hidden="false" customHeight="false" outlineLevel="0" collapsed="false">
      <c r="A7" s="17" t="str">
        <f aca="false">EOQ_Calculator!A8</f>
        <v>SKU-1002</v>
      </c>
      <c r="B7" s="18" t="str">
        <f aca="false">EOQ_Calculator!B8</f>
        <v>Perfect Fitness Trainer</v>
      </c>
      <c r="C7" s="17" t="n">
        <f aca="false">EOQ_Calculator!I8</f>
        <v>17</v>
      </c>
      <c r="D7" s="17" t="n">
        <f aca="false">EOQ_Calculator!K8</f>
        <v>4</v>
      </c>
      <c r="E7" s="19" t="n">
        <f aca="false">EOQ_Calculator!L8</f>
        <v>212</v>
      </c>
      <c r="F7" s="12" t="n">
        <f aca="false">(C7*D7)+E7</f>
        <v>280</v>
      </c>
      <c r="G7" s="20" t="n">
        <f aca="false">EOQ_Calculator!G8</f>
        <v>485.93109826195</v>
      </c>
      <c r="H7" s="11" t="n">
        <f aca="false">IF(C7=0,0,F7/C7)</f>
        <v>16.4705882352941</v>
      </c>
    </row>
    <row r="8" customFormat="false" ht="15" hidden="false" customHeight="false" outlineLevel="0" collapsed="false">
      <c r="A8" s="17" t="str">
        <f aca="false">EOQ_Calculator!A9</f>
        <v>SKU-1003</v>
      </c>
      <c r="B8" s="18" t="str">
        <f aca="false">EOQ_Calculator!B9</f>
        <v>Nike Men's Shorts</v>
      </c>
      <c r="C8" s="17" t="n">
        <f aca="false">EOQ_Calculator!I9</f>
        <v>27</v>
      </c>
      <c r="D8" s="17" t="n">
        <f aca="false">EOQ_Calculator!K9</f>
        <v>3</v>
      </c>
      <c r="E8" s="19" t="n">
        <f aca="false">EOQ_Calculator!L9</f>
        <v>249</v>
      </c>
      <c r="F8" s="12" t="n">
        <f aca="false">(C8*D8)+E8</f>
        <v>330</v>
      </c>
      <c r="G8" s="20" t="n">
        <f aca="false">EOQ_Calculator!G9</f>
        <v>650.986776965388</v>
      </c>
      <c r="H8" s="11" t="n">
        <f aca="false">IF(C8=0,0,F8/C8)</f>
        <v>12.2222222222222</v>
      </c>
    </row>
    <row r="9" customFormat="false" ht="15" hidden="false" customHeight="false" outlineLevel="0" collapsed="false">
      <c r="A9" s="17" t="str">
        <f aca="false">EOQ_Calculator!A10</f>
        <v>SKU-1004</v>
      </c>
      <c r="B9" s="18" t="str">
        <f aca="false">EOQ_Calculator!B10</f>
        <v>Field &amp; Stream Tent</v>
      </c>
      <c r="C9" s="17" t="n">
        <f aca="false">EOQ_Calculator!I10</f>
        <v>7</v>
      </c>
      <c r="D9" s="17" t="n">
        <f aca="false">EOQ_Calculator!K10</f>
        <v>6</v>
      </c>
      <c r="E9" s="19" t="n">
        <f aca="false">EOQ_Calculator!L10</f>
        <v>156</v>
      </c>
      <c r="F9" s="12" t="n">
        <f aca="false">(C9*D9)+E9</f>
        <v>198</v>
      </c>
      <c r="G9" s="20" t="n">
        <f aca="false">EOQ_Calculator!G10</f>
        <v>222.003860970286</v>
      </c>
      <c r="H9" s="11" t="n">
        <f aca="false">IF(C9=0,0,F9/C9)</f>
        <v>28.2857142857143</v>
      </c>
    </row>
    <row r="10" customFormat="false" ht="15" hidden="false" customHeight="false" outlineLevel="0" collapsed="false">
      <c r="A10" s="17" t="str">
        <f aca="false">EOQ_Calculator!A11</f>
        <v>SKU-1005</v>
      </c>
      <c r="B10" s="18" t="str">
        <f aca="false">EOQ_Calculator!B11</f>
        <v>Under Armour Hoodie</v>
      </c>
      <c r="C10" s="17" t="n">
        <f aca="false">EOQ_Calculator!I11</f>
        <v>20</v>
      </c>
      <c r="D10" s="17" t="n">
        <f aca="false">EOQ_Calculator!K11</f>
        <v>4</v>
      </c>
      <c r="E10" s="19" t="n">
        <f aca="false">EOQ_Calculator!L11</f>
        <v>214</v>
      </c>
      <c r="F10" s="12" t="n">
        <f aca="false">(C10*D10)+E10</f>
        <v>294</v>
      </c>
      <c r="G10" s="20" t="n">
        <f aca="false">EOQ_Calculator!G11</f>
        <v>526.782687642637</v>
      </c>
      <c r="H10" s="11" t="n">
        <f aca="false">IF(C10=0,0,F10/C10)</f>
        <v>14.7</v>
      </c>
    </row>
    <row r="11" customFormat="false" ht="15" hidden="false" customHeight="false" outlineLevel="0" collapsed="false">
      <c r="A11" s="17" t="str">
        <f aca="false">EOQ_Calculator!A12</f>
        <v>SKU-1006</v>
      </c>
      <c r="B11" s="18" t="str">
        <f aca="false">EOQ_Calculator!B12</f>
        <v>Yoga Mat Premium</v>
      </c>
      <c r="C11" s="17" t="n">
        <f aca="false">EOQ_Calculator!I12</f>
        <v>15</v>
      </c>
      <c r="D11" s="17" t="n">
        <f aca="false">EOQ_Calculator!K12</f>
        <v>3</v>
      </c>
      <c r="E11" s="19" t="n">
        <f aca="false">EOQ_Calculator!L12</f>
        <v>115</v>
      </c>
      <c r="F11" s="12" t="n">
        <f aca="false">(C11*D11)+E11</f>
        <v>160</v>
      </c>
      <c r="G11" s="20" t="n">
        <f aca="false">EOQ_Calculator!G12</f>
        <v>571.547606649408</v>
      </c>
      <c r="H11" s="11" t="n">
        <f aca="false">IF(C11=0,0,F11/C11)</f>
        <v>10.6666666666667</v>
      </c>
    </row>
    <row r="12" customFormat="false" ht="15" hidden="false" customHeight="false" outlineLevel="0" collapsed="false">
      <c r="A12" s="17" t="str">
        <f aca="false">EOQ_Calculator!A13</f>
        <v>SKU-1007</v>
      </c>
      <c r="B12" s="18" t="str">
        <f aca="false">EOQ_Calculator!B13</f>
        <v>Coleman Cooler 50QT</v>
      </c>
      <c r="C12" s="17" t="n">
        <f aca="false">EOQ_Calculator!I13</f>
        <v>9</v>
      </c>
      <c r="D12" s="17" t="n">
        <f aca="false">EOQ_Calculator!K13</f>
        <v>5</v>
      </c>
      <c r="E12" s="19" t="n">
        <f aca="false">EOQ_Calculator!L13</f>
        <v>175</v>
      </c>
      <c r="F12" s="12" t="n">
        <f aca="false">(C12*D12)+E12</f>
        <v>220</v>
      </c>
      <c r="G12" s="20" t="n">
        <f aca="false">EOQ_Calculator!G13</f>
        <v>278.388218141501</v>
      </c>
      <c r="H12" s="11" t="n">
        <f aca="false">IF(C12=0,0,F12/C12)</f>
        <v>24.4444444444444</v>
      </c>
    </row>
    <row r="13" customFormat="false" ht="15" hidden="false" customHeight="false" outlineLevel="0" collapsed="false">
      <c r="A13" s="17" t="str">
        <f aca="false">EOQ_Calculator!A14</f>
        <v>SKU-1008</v>
      </c>
      <c r="B13" s="18" t="str">
        <f aca="false">EOQ_Calculator!B14</f>
        <v>Wilson Golf Balls (Dz)</v>
      </c>
      <c r="C13" s="17" t="n">
        <f aca="false">EOQ_Calculator!I14</f>
        <v>24</v>
      </c>
      <c r="D13" s="17" t="n">
        <f aca="false">EOQ_Calculator!K14</f>
        <v>3</v>
      </c>
      <c r="E13" s="19" t="n">
        <f aca="false">EOQ_Calculator!L14</f>
        <v>216</v>
      </c>
      <c r="F13" s="12" t="n">
        <f aca="false">(C13*D13)+E13</f>
        <v>288</v>
      </c>
      <c r="G13" s="20" t="n">
        <f aca="false">EOQ_Calculator!G14</f>
        <v>749.736795921005</v>
      </c>
      <c r="H13" s="11" t="n">
        <f aca="false">IF(C13=0,0,F13/C13)</f>
        <v>12</v>
      </c>
    </row>
    <row r="14" customFormat="false" ht="15" hidden="false" customHeight="false" outlineLevel="0" collapsed="false">
      <c r="A14" s="17" t="str">
        <f aca="false">EOQ_Calculator!A15</f>
        <v>SKU-1009</v>
      </c>
      <c r="B14" s="18" t="str">
        <f aca="false">EOQ_Calculator!B15</f>
        <v>Nike Dri-FIT Polo</v>
      </c>
      <c r="C14" s="17" t="n">
        <f aca="false">EOQ_Calculator!I15</f>
        <v>18</v>
      </c>
      <c r="D14" s="17" t="n">
        <f aca="false">EOQ_Calculator!K15</f>
        <v>4</v>
      </c>
      <c r="E14" s="19" t="n">
        <f aca="false">EOQ_Calculator!L15</f>
        <v>194</v>
      </c>
      <c r="F14" s="12" t="n">
        <f aca="false">(C14*D14)+E14</f>
        <v>266</v>
      </c>
      <c r="G14" s="20" t="n">
        <f aca="false">EOQ_Calculator!G15</f>
        <v>492.418714587688</v>
      </c>
      <c r="H14" s="11" t="n">
        <f aca="false">IF(C14=0,0,F14/C14)</f>
        <v>14.7777777777778</v>
      </c>
    </row>
    <row r="15" customFormat="false" ht="15" hidden="false" customHeight="false" outlineLevel="0" collapsed="false">
      <c r="A15" s="17" t="str">
        <f aca="false">EOQ_Calculator!A16</f>
        <v>SKU-1010</v>
      </c>
      <c r="B15" s="18" t="str">
        <f aca="false">EOQ_Calculator!B16</f>
        <v>Garmin Running Watch</v>
      </c>
      <c r="C15" s="17" t="n">
        <f aca="false">EOQ_Calculator!I16</f>
        <v>8</v>
      </c>
      <c r="D15" s="17" t="n">
        <f aca="false">EOQ_Calculator!K16</f>
        <v>6</v>
      </c>
      <c r="E15" s="19" t="n">
        <f aca="false">EOQ_Calculator!L16</f>
        <v>144</v>
      </c>
      <c r="F15" s="12" t="n">
        <f aca="false">(C15*D15)+E15</f>
        <v>192</v>
      </c>
      <c r="G15" s="20" t="n">
        <f aca="false">EOQ_Calculator!G16</f>
        <v>207.976530618567</v>
      </c>
      <c r="H15" s="11" t="n">
        <f aca="false">IF(C15=0,0,F15/C15)</f>
        <v>24</v>
      </c>
    </row>
    <row r="17" customFormat="false" ht="32.8" hidden="false" customHeight="true" outlineLevel="0" collapsed="false">
      <c r="A17" s="16" t="s">
        <v>53</v>
      </c>
      <c r="B17" s="16"/>
      <c r="C17" s="16"/>
      <c r="D17" s="16"/>
      <c r="E17" s="16"/>
      <c r="F17" s="16"/>
      <c r="G17" s="16"/>
      <c r="H17" s="16"/>
    </row>
  </sheetData>
  <mergeCells count="3">
    <mergeCell ref="A1:H1"/>
    <mergeCell ref="A2:H2"/>
    <mergeCell ref="A17:H17"/>
  </mergeCells>
  <conditionalFormatting sqref="F6:F15">
    <cfRule type="cellIs" priority="2" operator="greaterThan" aboveAverage="0" equalAverage="0" bottom="0" percent="0" rank="0" text="" dxfId="0">
      <formula>AVERAGE(F6:F15)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1"/>
    <col collapsed="false" customWidth="true" hidden="false" outlineLevel="0" max="5" min="4" style="0" width="12"/>
    <col collapsed="false" customWidth="true" hidden="false" outlineLevel="0" max="6" min="6" style="0" width="14"/>
    <col collapsed="false" customWidth="true" hidden="false" outlineLevel="0" max="7" min="7" style="0" width="13"/>
    <col collapsed="false" customWidth="true" hidden="false" outlineLevel="0" max="8" min="8" style="0" width="11"/>
    <col collapsed="false" customWidth="true" hidden="false" outlineLevel="0" max="9" min="9" style="0" width="14"/>
    <col collapsed="false" customWidth="true" hidden="false" outlineLevel="0" max="10" min="10" style="0" width="12"/>
    <col collapsed="false" customWidth="true" hidden="false" outlineLevel="0" max="11" min="11" style="0" width="13"/>
    <col collapsed="false" customWidth="true" hidden="false" outlineLevel="0" max="12" min="12" style="0" width="16"/>
    <col collapsed="false" customWidth="true" hidden="false" outlineLevel="0" max="13" min="13" style="0" width="13"/>
  </cols>
  <sheetData>
    <row r="1" customFormat="false" ht="27.75" hidden="false" customHeight="true" outlineLevel="0" collapsed="false">
      <c r="A1" s="1" t="s">
        <v>54</v>
      </c>
      <c r="B1" s="1"/>
      <c r="C1" s="1"/>
      <c r="D1" s="1"/>
      <c r="E1" s="1"/>
      <c r="F1" s="1"/>
      <c r="G1" s="1"/>
      <c r="H1" s="1"/>
      <c r="I1" s="1"/>
      <c r="J1" s="1"/>
      <c r="K1" s="1"/>
      <c r="L1" s="1"/>
      <c r="M1" s="1"/>
    </row>
    <row r="2" customFormat="false" ht="15" hidden="false" customHeight="false" outlineLevel="0" collapsed="false">
      <c r="A2" s="2" t="s">
        <v>55</v>
      </c>
      <c r="B2" s="2"/>
      <c r="C2" s="2"/>
      <c r="D2" s="2"/>
      <c r="E2" s="2"/>
      <c r="F2" s="2"/>
      <c r="G2" s="2"/>
      <c r="H2" s="2"/>
      <c r="I2" s="2"/>
      <c r="J2" s="2"/>
      <c r="K2" s="2"/>
      <c r="L2" s="2"/>
      <c r="M2" s="2"/>
    </row>
    <row r="5" customFormat="false" ht="31.5" hidden="false" customHeight="true" outlineLevel="0" collapsed="false">
      <c r="A5" s="7" t="s">
        <v>6</v>
      </c>
      <c r="B5" s="7" t="s">
        <v>56</v>
      </c>
      <c r="C5" s="7" t="s">
        <v>57</v>
      </c>
      <c r="D5" s="7" t="s">
        <v>58</v>
      </c>
      <c r="E5" s="7" t="s">
        <v>11</v>
      </c>
      <c r="F5" s="7" t="s">
        <v>59</v>
      </c>
      <c r="G5" s="7" t="s">
        <v>60</v>
      </c>
      <c r="H5" s="7" t="s">
        <v>14</v>
      </c>
      <c r="I5" s="7" t="s">
        <v>61</v>
      </c>
      <c r="J5" s="7" t="s">
        <v>62</v>
      </c>
      <c r="K5" s="7" t="s">
        <v>63</v>
      </c>
      <c r="L5" s="7" t="s">
        <v>64</v>
      </c>
      <c r="M5" s="7" t="s">
        <v>65</v>
      </c>
    </row>
    <row r="6" customFormat="false" ht="15" hidden="false" customHeight="false" outlineLevel="0" collapsed="false">
      <c r="A6" s="8" t="s">
        <v>18</v>
      </c>
      <c r="B6" s="8" t="n">
        <v>60</v>
      </c>
      <c r="C6" s="10" t="n">
        <v>185</v>
      </c>
      <c r="D6" s="10" t="n">
        <v>299.99</v>
      </c>
      <c r="E6" s="10" t="n">
        <v>6.2</v>
      </c>
      <c r="F6" s="21" t="n">
        <f aca="false">B6*E6</f>
        <v>372</v>
      </c>
      <c r="G6" s="22" t="n">
        <v>0.12</v>
      </c>
      <c r="H6" s="8" t="n">
        <v>12</v>
      </c>
      <c r="I6" s="12" t="n">
        <f aca="false">H6*365</f>
        <v>4380</v>
      </c>
      <c r="J6" s="23" t="n">
        <f aca="false">D6-C6</f>
        <v>114.99</v>
      </c>
      <c r="K6" s="22" t="n">
        <v>0.08</v>
      </c>
      <c r="L6" s="21" t="n">
        <f aca="false">G6*(J6*(1+K6))*I6</f>
        <v>65273.84352</v>
      </c>
      <c r="M6" s="21" t="n">
        <f aca="false">F6-L6</f>
        <v>-64901.84352</v>
      </c>
    </row>
    <row r="7" customFormat="false" ht="15" hidden="false" customHeight="false" outlineLevel="0" collapsed="false">
      <c r="A7" s="8" t="s">
        <v>21</v>
      </c>
      <c r="B7" s="8" t="n">
        <v>90</v>
      </c>
      <c r="C7" s="10" t="n">
        <v>58</v>
      </c>
      <c r="D7" s="10" t="n">
        <v>89.99</v>
      </c>
      <c r="E7" s="10" t="n">
        <v>3.1</v>
      </c>
      <c r="F7" s="21" t="n">
        <f aca="false">B7*E7</f>
        <v>279</v>
      </c>
      <c r="G7" s="22" t="n">
        <v>0.18</v>
      </c>
      <c r="H7" s="8" t="n">
        <v>17</v>
      </c>
      <c r="I7" s="12" t="n">
        <f aca="false">H7*365</f>
        <v>6205</v>
      </c>
      <c r="J7" s="23" t="n">
        <f aca="false">D7-C7</f>
        <v>31.99</v>
      </c>
      <c r="K7" s="22" t="n">
        <v>0.06</v>
      </c>
      <c r="L7" s="21" t="n">
        <f aca="false">G7*(J7*(1+K7))*I7</f>
        <v>37873.40886</v>
      </c>
      <c r="M7" s="21" t="n">
        <f aca="false">F7-L7</f>
        <v>-37594.40886</v>
      </c>
    </row>
    <row r="8" customFormat="false" ht="15" hidden="false" customHeight="false" outlineLevel="0" collapsed="false">
      <c r="A8" s="8" t="s">
        <v>23</v>
      </c>
      <c r="B8" s="8" t="n">
        <v>140</v>
      </c>
      <c r="C8" s="10" t="n">
        <v>22.5</v>
      </c>
      <c r="D8" s="10" t="n">
        <v>34.99</v>
      </c>
      <c r="E8" s="10" t="n">
        <v>1.85</v>
      </c>
      <c r="F8" s="21" t="n">
        <f aca="false">B8*E8</f>
        <v>259</v>
      </c>
      <c r="G8" s="22" t="n">
        <v>0.25</v>
      </c>
      <c r="H8" s="8" t="n">
        <v>27</v>
      </c>
      <c r="I8" s="12" t="n">
        <f aca="false">H8*365</f>
        <v>9855</v>
      </c>
      <c r="J8" s="23" t="n">
        <f aca="false">D8-C8</f>
        <v>12.49</v>
      </c>
      <c r="K8" s="22" t="n">
        <v>0.04</v>
      </c>
      <c r="L8" s="21" t="n">
        <f aca="false">G8*(J8*(1+K8))*I8</f>
        <v>32003.127</v>
      </c>
      <c r="M8" s="21" t="n">
        <f aca="false">F8-L8</f>
        <v>-31744.127</v>
      </c>
    </row>
    <row r="9" customFormat="false" ht="15" hidden="false" customHeight="false" outlineLevel="0" collapsed="false">
      <c r="A9" s="8" t="s">
        <v>26</v>
      </c>
      <c r="B9" s="8" t="n">
        <v>40</v>
      </c>
      <c r="C9" s="10" t="n">
        <v>210</v>
      </c>
      <c r="D9" s="10" t="n">
        <v>349.99</v>
      </c>
      <c r="E9" s="10" t="n">
        <v>8.4</v>
      </c>
      <c r="F9" s="21" t="n">
        <f aca="false">B9*E9</f>
        <v>336</v>
      </c>
      <c r="G9" s="22" t="n">
        <v>0.09</v>
      </c>
      <c r="H9" s="8" t="n">
        <v>7</v>
      </c>
      <c r="I9" s="12" t="n">
        <f aca="false">H9*365</f>
        <v>2555</v>
      </c>
      <c r="J9" s="23" t="n">
        <f aca="false">D9-C9</f>
        <v>139.99</v>
      </c>
      <c r="K9" s="22" t="n">
        <v>0.1</v>
      </c>
      <c r="L9" s="21" t="n">
        <f aca="false">G9*(J9*(1+K9))*I9</f>
        <v>35409.77055</v>
      </c>
      <c r="M9" s="21" t="n">
        <f aca="false">F9-L9</f>
        <v>-35073.77055</v>
      </c>
    </row>
    <row r="10" customFormat="false" ht="15" hidden="false" customHeight="false" outlineLevel="0" collapsed="false">
      <c r="A10" s="8" t="s">
        <v>29</v>
      </c>
      <c r="B10" s="8" t="n">
        <v>110</v>
      </c>
      <c r="C10" s="10" t="n">
        <v>34</v>
      </c>
      <c r="D10" s="10" t="n">
        <v>54.99</v>
      </c>
      <c r="E10" s="10" t="n">
        <v>2.4</v>
      </c>
      <c r="F10" s="21" t="n">
        <f aca="false">B10*E10</f>
        <v>264</v>
      </c>
      <c r="G10" s="22" t="n">
        <v>0.2</v>
      </c>
      <c r="H10" s="8" t="n">
        <v>20</v>
      </c>
      <c r="I10" s="12" t="n">
        <f aca="false">H10*365</f>
        <v>7300</v>
      </c>
      <c r="J10" s="23" t="n">
        <f aca="false">D10-C10</f>
        <v>20.99</v>
      </c>
      <c r="K10" s="22" t="n">
        <v>0.05</v>
      </c>
      <c r="L10" s="21" t="n">
        <f aca="false">G10*(J10*(1+K10))*I10</f>
        <v>32177.67</v>
      </c>
      <c r="M10" s="21" t="n">
        <f aca="false">F10-L10</f>
        <v>-31913.67</v>
      </c>
    </row>
    <row r="11" customFormat="false" ht="15" hidden="false" customHeight="false" outlineLevel="0" collapsed="false">
      <c r="A11" s="8" t="s">
        <v>31</v>
      </c>
      <c r="B11" s="8" t="n">
        <v>75</v>
      </c>
      <c r="C11" s="10" t="n">
        <v>18</v>
      </c>
      <c r="D11" s="10" t="n">
        <v>29.99</v>
      </c>
      <c r="E11" s="10" t="n">
        <v>1.2</v>
      </c>
      <c r="F11" s="21" t="n">
        <f aca="false">B11*E11</f>
        <v>90</v>
      </c>
      <c r="G11" s="22" t="n">
        <v>0.15</v>
      </c>
      <c r="H11" s="8" t="n">
        <v>15</v>
      </c>
      <c r="I11" s="12" t="n">
        <f aca="false">H11*365</f>
        <v>5475</v>
      </c>
      <c r="J11" s="23" t="n">
        <f aca="false">D11-C11</f>
        <v>11.99</v>
      </c>
      <c r="K11" s="22" t="n">
        <v>0.03</v>
      </c>
      <c r="L11" s="21" t="n">
        <f aca="false">G11*(J11*(1+K11))*I11</f>
        <v>10142.191125</v>
      </c>
      <c r="M11" s="21" t="n">
        <f aca="false">F11-L11</f>
        <v>-10052.191125</v>
      </c>
    </row>
    <row r="12" customFormat="false" ht="15" hidden="false" customHeight="false" outlineLevel="0" collapsed="false">
      <c r="A12" s="8" t="s">
        <v>33</v>
      </c>
      <c r="B12" s="8" t="n">
        <v>45</v>
      </c>
      <c r="C12" s="10" t="n">
        <v>120</v>
      </c>
      <c r="D12" s="10" t="n">
        <v>199.99</v>
      </c>
      <c r="E12" s="10" t="n">
        <v>5.6</v>
      </c>
      <c r="F12" s="21" t="n">
        <f aca="false">B12*E12</f>
        <v>252</v>
      </c>
      <c r="G12" s="22" t="n">
        <v>0.11</v>
      </c>
      <c r="H12" s="8" t="n">
        <v>9</v>
      </c>
      <c r="I12" s="12" t="n">
        <f aca="false">H12*365</f>
        <v>3285</v>
      </c>
      <c r="J12" s="23" t="n">
        <f aca="false">D12-C12</f>
        <v>79.99</v>
      </c>
      <c r="K12" s="22" t="n">
        <v>0.07</v>
      </c>
      <c r="L12" s="21" t="n">
        <f aca="false">G12*(J12*(1+K12))*I12</f>
        <v>30927.693555</v>
      </c>
      <c r="M12" s="21" t="n">
        <f aca="false">F12-L12</f>
        <v>-30675.693555</v>
      </c>
    </row>
    <row r="13" customFormat="false" ht="15" hidden="false" customHeight="false" outlineLevel="0" collapsed="false">
      <c r="A13" s="8" t="s">
        <v>35</v>
      </c>
      <c r="B13" s="8" t="n">
        <v>130</v>
      </c>
      <c r="C13" s="10" t="n">
        <v>15</v>
      </c>
      <c r="D13" s="10" t="n">
        <v>24.99</v>
      </c>
      <c r="E13" s="10" t="n">
        <v>0.95</v>
      </c>
      <c r="F13" s="21" t="n">
        <f aca="false">B13*E13</f>
        <v>123.5</v>
      </c>
      <c r="G13" s="22" t="n">
        <v>0.3</v>
      </c>
      <c r="H13" s="8" t="n">
        <v>24</v>
      </c>
      <c r="I13" s="12" t="n">
        <f aca="false">H13*365</f>
        <v>8760</v>
      </c>
      <c r="J13" s="23" t="n">
        <f aca="false">D13-C13</f>
        <v>9.99</v>
      </c>
      <c r="K13" s="22" t="n">
        <v>0.02</v>
      </c>
      <c r="L13" s="21" t="n">
        <f aca="false">G13*(J13*(1+K13))*I13</f>
        <v>26778.7944</v>
      </c>
      <c r="M13" s="21" t="n">
        <f aca="false">F13-L13</f>
        <v>-26655.2944</v>
      </c>
    </row>
    <row r="14" customFormat="false" ht="15" hidden="false" customHeight="false" outlineLevel="0" collapsed="false">
      <c r="A14" s="8" t="s">
        <v>38</v>
      </c>
      <c r="B14" s="8" t="n">
        <v>95</v>
      </c>
      <c r="C14" s="10" t="n">
        <v>28</v>
      </c>
      <c r="D14" s="10" t="n">
        <v>44.99</v>
      </c>
      <c r="E14" s="10" t="n">
        <v>2.1</v>
      </c>
      <c r="F14" s="21" t="n">
        <f aca="false">B14*E14</f>
        <v>199.5</v>
      </c>
      <c r="G14" s="22" t="n">
        <v>0.17</v>
      </c>
      <c r="H14" s="8" t="n">
        <v>18</v>
      </c>
      <c r="I14" s="12" t="n">
        <f aca="false">H14*365</f>
        <v>6570</v>
      </c>
      <c r="J14" s="23" t="n">
        <f aca="false">D14-C14</f>
        <v>16.99</v>
      </c>
      <c r="K14" s="22" t="n">
        <v>0.05</v>
      </c>
      <c r="L14" s="21" t="n">
        <f aca="false">G14*(J14*(1+K14))*I14</f>
        <v>19924.93755</v>
      </c>
      <c r="M14" s="21" t="n">
        <f aca="false">F14-L14</f>
        <v>-19725.43755</v>
      </c>
    </row>
    <row r="15" customFormat="false" ht="15" hidden="false" customHeight="false" outlineLevel="0" collapsed="false">
      <c r="A15" s="8" t="s">
        <v>40</v>
      </c>
      <c r="B15" s="8" t="n">
        <v>35</v>
      </c>
      <c r="C15" s="10" t="n">
        <v>249</v>
      </c>
      <c r="D15" s="10" t="n">
        <v>399.99</v>
      </c>
      <c r="E15" s="10" t="n">
        <v>14.75</v>
      </c>
      <c r="F15" s="21" t="n">
        <f aca="false">B15*E15</f>
        <v>516.25</v>
      </c>
      <c r="G15" s="22" t="n">
        <v>0.08</v>
      </c>
      <c r="H15" s="8" t="n">
        <v>8</v>
      </c>
      <c r="I15" s="12" t="n">
        <f aca="false">H15*365</f>
        <v>2920</v>
      </c>
      <c r="J15" s="23" t="n">
        <f aca="false">D15-C15</f>
        <v>150.99</v>
      </c>
      <c r="K15" s="22" t="n">
        <v>0.12</v>
      </c>
      <c r="L15" s="21" t="n">
        <f aca="false">G15*(J15*(1+K15))*I15</f>
        <v>39503.81568</v>
      </c>
      <c r="M15" s="21" t="n">
        <f aca="false">F15-L15</f>
        <v>-38987.56568</v>
      </c>
    </row>
    <row r="18" customFormat="false" ht="15" hidden="false" customHeight="false" outlineLevel="0" collapsed="false">
      <c r="A18" s="13" t="s">
        <v>66</v>
      </c>
      <c r="B18" s="13"/>
      <c r="C18" s="13"/>
    </row>
    <row r="19" customFormat="false" ht="15" hidden="false" customHeight="false" outlineLevel="0" collapsed="false">
      <c r="A19" s="3" t="s">
        <v>67</v>
      </c>
      <c r="D19" s="24" t="n">
        <f aca="false">SUM(F6:F15)</f>
        <v>2691.25</v>
      </c>
    </row>
    <row r="20" customFormat="false" ht="15" hidden="false" customHeight="false" outlineLevel="0" collapsed="false">
      <c r="A20" s="3" t="s">
        <v>68</v>
      </c>
      <c r="D20" s="24" t="n">
        <f aca="false">SUM(L6:L15)</f>
        <v>330015.25224</v>
      </c>
    </row>
    <row r="21" customFormat="false" ht="15" hidden="false" customHeight="false" outlineLevel="0" collapsed="false">
      <c r="A21" s="3" t="s">
        <v>69</v>
      </c>
      <c r="D21" s="24" t="n">
        <f aca="false">D19-D20</f>
        <v>-327324.00224</v>
      </c>
    </row>
    <row r="22" customFormat="false" ht="15" hidden="false" customHeight="false" outlineLevel="0" collapsed="false">
      <c r="A22" s="3" t="s">
        <v>70</v>
      </c>
      <c r="D22" s="15" t="n">
        <f aca="false">COUNTIF(M6:M15,"&lt;0")</f>
        <v>10</v>
      </c>
    </row>
    <row r="24" customFormat="false" ht="22.35" hidden="false" customHeight="true" outlineLevel="0" collapsed="false">
      <c r="A24" s="16" t="s">
        <v>71</v>
      </c>
      <c r="B24" s="16"/>
      <c r="C24" s="16"/>
      <c r="D24" s="16"/>
      <c r="E24" s="16"/>
      <c r="F24" s="16"/>
      <c r="G24" s="16"/>
      <c r="H24" s="16"/>
      <c r="I24" s="16"/>
      <c r="J24" s="16"/>
      <c r="K24" s="16"/>
      <c r="L24" s="16"/>
      <c r="M24" s="16"/>
    </row>
  </sheetData>
  <mergeCells count="4">
    <mergeCell ref="A1:M1"/>
    <mergeCell ref="A2:M2"/>
    <mergeCell ref="A18:C18"/>
    <mergeCell ref="A24:M24"/>
  </mergeCells>
  <conditionalFormatting sqref="M6:M15">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2026-08-02T16:37:32Z</dcterms:created>
  <dc:creator>openpyxl</dc:creator>
  <dc:description/>
  <dc:language>en-US</dc:language>
  <cp:lastModifiedBy/>
  <dcterms:modified xsi:type="dcterms:W3CDTF">2026-08-02T16:37:32Z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